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. AntiGravity\dzinia-pricing-app\"/>
    </mc:Choice>
  </mc:AlternateContent>
  <xr:revisionPtr revIDLastSave="0" documentId="13_ncr:1_{7E54457B-6F5C-44D0-B9A6-7FC7EF7D93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vices &amp; Pricing" sheetId="1" r:id="rId1"/>
    <sheet name="How to Use" sheetId="2" r:id="rId2"/>
  </sheets>
  <calcPr calcId="191029"/>
</workbook>
</file>

<file path=xl/calcChain.xml><?xml version="1.0" encoding="utf-8"?>
<calcChain xmlns="http://schemas.openxmlformats.org/spreadsheetml/2006/main">
  <c r="G48" i="1" l="1"/>
  <c r="H48" i="1"/>
  <c r="G49" i="1"/>
  <c r="H49" i="1"/>
  <c r="F56" i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H47" i="1"/>
  <c r="G47" i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H30" i="1"/>
  <c r="G30" i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H19" i="1"/>
  <c r="G19" i="1"/>
  <c r="G18" i="1"/>
  <c r="H18" i="1" s="1"/>
  <c r="G17" i="1"/>
  <c r="H17" i="1" s="1"/>
  <c r="G16" i="1"/>
  <c r="H16" i="1" s="1"/>
  <c r="H15" i="1"/>
  <c r="G15" i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G56" i="1" l="1"/>
  <c r="H4" i="1"/>
  <c r="H56" i="1" s="1"/>
</calcChain>
</file>

<file path=xl/sharedStrings.xml><?xml version="1.0" encoding="utf-8"?>
<sst xmlns="http://schemas.openxmlformats.org/spreadsheetml/2006/main" count="236" uniqueCount="155">
  <si>
    <t>DZINIA DESIGNING SERVICES  --  Services &amp; Pricing Rate Card 2025</t>
  </si>
  <si>
    <t>Enter your price in column F  ·  GST and Final Price auto-calculate  ·  dzinia.in  ·  Pune, India</t>
  </si>
  <si>
    <t>#</t>
  </si>
  <si>
    <t>Category</t>
  </si>
  <si>
    <t>Service Name</t>
  </si>
  <si>
    <t>Scope / Description</t>
  </si>
  <si>
    <t>Unit</t>
  </si>
  <si>
    <t>Your Price (₹)</t>
  </si>
  <si>
    <t>GST 18% (₹)</t>
  </si>
  <si>
    <t>Final Price (₹)</t>
  </si>
  <si>
    <t>Notes / Remarks</t>
  </si>
  <si>
    <t>Branding &amp; Identity</t>
  </si>
  <si>
    <t>Logo Design</t>
  </si>
  <si>
    <t>Primary logo + variations (B&amp;W, colour, icon)</t>
  </si>
  <si>
    <t>Per Project</t>
  </si>
  <si>
    <t>Brand Identity Package</t>
  </si>
  <si>
    <t>Logo, colours, typography, brand guidelines</t>
  </si>
  <si>
    <t>Brand Style Guide / Manual</t>
  </si>
  <si>
    <t>Full brand rulebook document</t>
  </si>
  <si>
    <t>Business Card Design</t>
  </si>
  <si>
    <t>Print-ready, double-sided</t>
  </si>
  <si>
    <t>Per Design</t>
  </si>
  <si>
    <t>Letterhead Design</t>
  </si>
  <si>
    <t>A4 corporate stationery</t>
  </si>
  <si>
    <t>Envelope Design</t>
  </si>
  <si>
    <t>Custom branded envelope</t>
  </si>
  <si>
    <t>Company Stamp / Seal Design</t>
  </si>
  <si>
    <t>Round or rectangle corporate stamp</t>
  </si>
  <si>
    <t>Email Signature Design</t>
  </si>
  <si>
    <t>HTML-ready branded signature</t>
  </si>
  <si>
    <t>Social Media</t>
  </si>
  <si>
    <t>Single Post / Static Graphic</t>
  </si>
  <si>
    <t>One creative graphic for feed</t>
  </si>
  <si>
    <t>Per Post</t>
  </si>
  <si>
    <t>Carousel / Slider Post</t>
  </si>
  <si>
    <t>Up to 5 slides, storytelling format</t>
  </si>
  <si>
    <t>Reel / Short Video Graphic</t>
  </si>
  <si>
    <t>Motion-graphic reel, up to 20 sec</t>
  </si>
  <si>
    <t>Per Video</t>
  </si>
  <si>
    <t>Story Design (Vertical)</t>
  </si>
  <si>
    <t>Instagram / Facebook story graphic</t>
  </si>
  <si>
    <t>Per Story</t>
  </si>
  <si>
    <t>Social Media Profile Setup</t>
  </si>
  <si>
    <t>Profile photo, cover, highlight covers</t>
  </si>
  <si>
    <t>Per Platform</t>
  </si>
  <si>
    <t>Monthly Social Media Plan</t>
  </si>
  <si>
    <t>25 days: 17 Singles + 4 Reels + 4 Sliders</t>
  </si>
  <si>
    <t>Per Month</t>
  </si>
  <si>
    <t>Monthly Social Media Lite</t>
  </si>
  <si>
    <t>12 days: 7 Singles + 2 Reels + 3 Sliders</t>
  </si>
  <si>
    <t>Content Calendar</t>
  </si>
  <si>
    <t>Planned post schedule with captions</t>
  </si>
  <si>
    <t>Print Design</t>
  </si>
  <si>
    <t>Brochure / Leaflet (A4 1-side)</t>
  </si>
  <si>
    <t>Single-sided, print-ready layout</t>
  </si>
  <si>
    <t>Per Side</t>
  </si>
  <si>
    <t>Tri-fold / Z-fold Brochure</t>
  </si>
  <si>
    <t>6-panel layout, high resolution</t>
  </si>
  <si>
    <t>Flyer / Handbill</t>
  </si>
  <si>
    <t>A5/A4 promotional flyer</t>
  </si>
  <si>
    <t>Poster Design</t>
  </si>
  <si>
    <t>A3/A2 creative or typographic poster</t>
  </si>
  <si>
    <t>Banner / Flex Design</t>
  </si>
  <si>
    <t>Outdoor / indoor hoarding banner</t>
  </si>
  <si>
    <t>Roll-up / Standee Design</t>
  </si>
  <si>
    <t>Pull-up banner (2x6 ft or 3x6 ft)</t>
  </si>
  <si>
    <t>Menu Design (A4)</t>
  </si>
  <si>
    <t>Restaurant / café menu layout</t>
  </si>
  <si>
    <t>Invitation Design</t>
  </si>
  <si>
    <t>Wedding, corporate or event invitation</t>
  </si>
  <si>
    <t>Calendar Design</t>
  </si>
  <si>
    <t>12-month wall / table calendar</t>
  </si>
  <si>
    <t>Magazine / Newsletter Layout</t>
  </si>
  <si>
    <t>Editorial design (per A4 page)</t>
  </si>
  <si>
    <t>Per Page (A4)</t>
  </si>
  <si>
    <t>Catalogue Design</t>
  </si>
  <si>
    <t>Product showcase catalogue</t>
  </si>
  <si>
    <t>Annual Report Design</t>
  </si>
  <si>
    <t>Structured corporate report layout</t>
  </si>
  <si>
    <t>Booklet Design</t>
  </si>
  <si>
    <t>Custom cover + interior pages</t>
  </si>
  <si>
    <t>Per Page</t>
  </si>
  <si>
    <t>Packaging Design</t>
  </si>
  <si>
    <t>Product Box Design</t>
  </si>
  <si>
    <t>3D dieline + print-ready artwork</t>
  </si>
  <si>
    <t>Starting</t>
  </si>
  <si>
    <t>Label / Sticker Design</t>
  </si>
  <si>
    <t>Custom-shape product label</t>
  </si>
  <si>
    <t>Pouch / Bag Design</t>
  </si>
  <si>
    <t>Stand-up pouch or carry bag artwork</t>
  </si>
  <si>
    <t>Bottle / Jar Label</t>
  </si>
  <si>
    <t>Cylindrical wrap-around label</t>
  </si>
  <si>
    <t>Digital &amp; Web</t>
  </si>
  <si>
    <t>Website UI Design (per page)</t>
  </si>
  <si>
    <t>Figma / Adobe XD wireframe + visuals</t>
  </si>
  <si>
    <t>Complete Website (5 Pages)</t>
  </si>
  <si>
    <t>Full UI/UX, mobile responsive, CMS ready</t>
  </si>
  <si>
    <t>Landing Page Design</t>
  </si>
  <si>
    <t>Single high-converting page layout</t>
  </si>
  <si>
    <t>Email Newsletter Template</t>
  </si>
  <si>
    <t>HTML-ready email design</t>
  </si>
  <si>
    <t>Per Template</t>
  </si>
  <si>
    <t>Digital Ad Banner Set</t>
  </si>
  <si>
    <t>Google / Meta ads in multiple sizes</t>
  </si>
  <si>
    <t>Per Set</t>
  </si>
  <si>
    <t>Pitch Deck / Presentation</t>
  </si>
  <si>
    <t>PowerPoint / Keynote professional slides</t>
  </si>
  <si>
    <t>Per Deck</t>
  </si>
  <si>
    <t>Infographic Design</t>
  </si>
  <si>
    <t>Data / process visual infographic</t>
  </si>
  <si>
    <t>Motion &amp; Video</t>
  </si>
  <si>
    <t>Motion Graphic (Short Clip)</t>
  </si>
  <si>
    <t>Logo Animation / Reveal</t>
  </si>
  <si>
    <t>Animated logo intro, 5–10 sec</t>
  </si>
  <si>
    <t>Instagram Reel Editing</t>
  </si>
  <si>
    <t>Video edit + graphics overlay</t>
  </si>
  <si>
    <t>After Effects Template</t>
  </si>
  <si>
    <t>Custom AE template for social / promo</t>
  </si>
  <si>
    <t>Photo &amp; Illustration</t>
  </si>
  <si>
    <t>Photo Editing / Retouching</t>
  </si>
  <si>
    <t>Product or portrait retouching</t>
  </si>
  <si>
    <t>Per Image</t>
  </si>
  <si>
    <t>Background Removal</t>
  </si>
  <si>
    <t>Clean cutout, transparent background</t>
  </si>
  <si>
    <t>Product Mockup Design</t>
  </si>
  <si>
    <t>3D product visualization / mockup</t>
  </si>
  <si>
    <t>Per Mockup</t>
  </si>
  <si>
    <t>Custom Illustration</t>
  </si>
  <si>
    <t>Hand-drawn or digital style illustration</t>
  </si>
  <si>
    <t>Icon Set Design</t>
  </si>
  <si>
    <t>Custom icon pack (up to 10 icons)</t>
  </si>
  <si>
    <t>Merchandise &amp; Promo</t>
  </si>
  <si>
    <t>T-shirt / Apparel Graphic</t>
  </si>
  <si>
    <t>Print-ready artwork for garments</t>
  </si>
  <si>
    <t>Promo Merchandise Design</t>
  </si>
  <si>
    <t>Caps, mugs, bags, stationery artwork</t>
  </si>
  <si>
    <t>Per Item</t>
  </si>
  <si>
    <t>Event Backdrop / Stage Design</t>
  </si>
  <si>
    <t>Event branding, stage backdrop graphics</t>
  </si>
  <si>
    <t>TOTAL  (filled services only)</t>
  </si>
  <si>
    <t>HOW TO USE THIS PRICING SHEET</t>
  </si>
  <si>
    <t/>
  </si>
  <si>
    <t xml:space="preserve">  Step 1:   Open the 'Services &amp; Pricing' sheet.</t>
  </si>
  <si>
    <t xml:space="preserve">  Step 2:   For every service you offer, type your price in column F (highlighted in dark grey).</t>
  </si>
  <si>
    <t xml:space="preserve">  Step 3:   Column G (GST @ 18%) auto-calculates the tax you collect.</t>
  </si>
  <si>
    <t xml:space="preserve">  Step 4:   Column H (Final Price) shows the total amount billed to the client.</t>
  </si>
  <si>
    <t xml:space="preserve">  Step 5:   Use column I (Notes) for extra info — e.g., 'Rush fee +20%', '2 revisions included'.</t>
  </si>
  <si>
    <t xml:space="preserve">  Tip:   Leave column F blank for services you don't offer — they'll be excluded from totals.</t>
  </si>
  <si>
    <t xml:space="preserve">  Tip:   Save a copy per client to create custom rate quotes.</t>
  </si>
  <si>
    <t xml:space="preserve">  Tip:   Print to PDF for a professional rate card to share.</t>
  </si>
  <si>
    <t xml:space="preserve">  Brand:   Dzinia Designing Services  ·  dzinia.in</t>
  </si>
  <si>
    <t xml:space="preserve">  Location:   108 Atria RK Puram, Tingre Nagar, Vishrantwadi, Pune, Maharashtra</t>
  </si>
  <si>
    <t xml:space="preserve">  Contact:   WhatsApp: 09503495511  ·  Instagram: @dzinia.in</t>
  </si>
  <si>
    <t>n.a</t>
  </si>
  <si>
    <t>Animated graphic, up to 10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</si>
</sst>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15" x14ac:knownFonts="1">
    <font>
      <sz val="11"/>
      <color theme="1"/>
      <name val="Calibri"/>
      <family val="2"/>
      <scheme val="minor"/>
    </font>
    <font>
      <b/>
      <sz val="16"/>
      <color rgb="FFD4A017"/>
      <name val="Calibri"/>
    </font>
    <font>
      <i/>
      <sz val="9"/>
      <color rgb="FF888888"/>
      <name val="Calibri"/>
    </font>
    <font>
      <b/>
      <sz val="11"/>
      <color rgb="FFFFFFFF"/>
      <name val="Calibri"/>
    </font>
    <font>
      <sz val="10"/>
      <color rgb="FFFFFFFF"/>
      <name val="Calibri"/>
    </font>
    <font>
      <b/>
      <sz val="10"/>
      <color rgb="FFD4A017"/>
      <name val="Calibri"/>
    </font>
    <font>
      <sz val="9"/>
      <color rgb="FF888888"/>
      <name val="Calibri"/>
    </font>
    <font>
      <sz val="10"/>
      <color rgb="FF888888"/>
      <name val="Calibri"/>
    </font>
    <font>
      <b/>
      <sz val="10"/>
      <color rgb="FF39FF14"/>
      <name val="Calibri"/>
    </font>
    <font>
      <b/>
      <sz val="12"/>
      <color rgb="FFD4A017"/>
      <name val="Calibri"/>
    </font>
    <font>
      <b/>
      <sz val="12"/>
      <color rgb="FF888888"/>
      <name val="Calibri"/>
    </font>
    <font>
      <b/>
      <sz val="12"/>
      <color rgb="FF39FF14"/>
      <name val="Calibri"/>
    </font>
    <font>
      <b/>
      <sz val="18"/>
      <color rgb="FF8B0000"/>
      <name val="Calibri"/>
    </font>
    <font>
      <i/>
      <sz val="10"/>
      <color rgb="FFDDEE00"/>
      <name val="Calibri"/>
    </font>
    <font>
      <b/>
      <sz val="11"/>
      <color rgb="FFD4A017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41414"/>
      </patternFill>
    </fill>
    <fill>
      <patternFill patternType="solid">
        <fgColor rgb="FF1E1E1E"/>
      </patternFill>
    </fill>
    <fill>
      <patternFill patternType="solid">
        <fgColor rgb="FF8B0000"/>
      </patternFill>
    </fill>
    <fill>
      <patternFill patternType="solid">
        <fgColor rgb="FF262626"/>
      </patternFill>
    </fill>
    <fill>
      <patternFill patternType="solid">
        <fgColor rgb="FF2A2A2A"/>
      </patternFill>
    </fill>
    <fill>
      <patternFill patternType="solid">
        <fgColor rgb="FF050505"/>
      </patternFill>
    </fill>
    <fill>
      <patternFill patternType="solid">
        <fgColor rgb="FF1C1C00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12" fillId="2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13" fillId="8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1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showGridLines="0" tabSelected="1" topLeftCell="B1" zoomScale="130" zoomScaleNormal="130" workbookViewId="0">
      <pane ySplit="3" topLeftCell="A4" activePane="bottomLeft" state="frozen"/>
      <selection pane="bottomLeft" activeCell="C48" sqref="C48"/>
    </sheetView>
  </sheetViews>
  <sheetFormatPr defaultRowHeight="15" x14ac:dyDescent="0.25"/>
  <cols>
    <col min="1" max="1" width="5" customWidth="1"/>
    <col min="2" max="2" width="24" customWidth="1"/>
    <col min="3" max="3" width="34" customWidth="1"/>
    <col min="4" max="4" width="50" customWidth="1"/>
    <col min="5" max="5" width="20" customWidth="1"/>
    <col min="6" max="6" width="18" customWidth="1"/>
    <col min="7" max="7" width="16" customWidth="1"/>
    <col min="8" max="8" width="20" customWidth="1"/>
    <col min="9" max="9" width="30" customWidth="1"/>
  </cols>
  <sheetData>
    <row r="1" spans="1:9" ht="48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</row>
    <row r="2" spans="1:9" ht="21.95" customHeight="1" x14ac:dyDescent="0.25">
      <c r="A2" s="30" t="s">
        <v>1</v>
      </c>
      <c r="B2" s="28"/>
      <c r="C2" s="28"/>
      <c r="D2" s="28"/>
      <c r="E2" s="28"/>
      <c r="F2" s="28"/>
      <c r="G2" s="28"/>
      <c r="H2" s="28"/>
      <c r="I2" s="28"/>
    </row>
    <row r="3" spans="1:9" ht="27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21.95" customHeight="1" x14ac:dyDescent="0.25">
      <c r="A4" s="2">
        <v>1</v>
      </c>
      <c r="B4" s="3" t="s">
        <v>11</v>
      </c>
      <c r="C4" s="4" t="s">
        <v>12</v>
      </c>
      <c r="D4" s="5" t="s">
        <v>13</v>
      </c>
      <c r="E4" s="2" t="s">
        <v>14</v>
      </c>
      <c r="F4" s="6">
        <v>12000</v>
      </c>
      <c r="G4" s="7">
        <f t="shared" ref="G4:G35" si="0">IF(F4="","",F4*0.18)</f>
        <v>2160</v>
      </c>
      <c r="H4" s="8">
        <f t="shared" ref="H4:H35" si="1">IF(F4="","",F4+G4)</f>
        <v>14160</v>
      </c>
      <c r="I4" s="9"/>
    </row>
    <row r="5" spans="1:9" ht="21.95" customHeight="1" x14ac:dyDescent="0.25">
      <c r="A5" s="2">
        <v>2</v>
      </c>
      <c r="B5" s="10" t="s">
        <v>11</v>
      </c>
      <c r="C5" s="4" t="s">
        <v>15</v>
      </c>
      <c r="D5" s="5" t="s">
        <v>16</v>
      </c>
      <c r="E5" s="2" t="s">
        <v>14</v>
      </c>
      <c r="F5" s="6">
        <v>15500</v>
      </c>
      <c r="G5" s="7">
        <f t="shared" si="0"/>
        <v>2790</v>
      </c>
      <c r="H5" s="8">
        <f t="shared" si="1"/>
        <v>18290</v>
      </c>
      <c r="I5" s="9"/>
    </row>
    <row r="6" spans="1:9" ht="21.95" customHeight="1" x14ac:dyDescent="0.25">
      <c r="A6" s="2">
        <v>3</v>
      </c>
      <c r="B6" s="10" t="s">
        <v>11</v>
      </c>
      <c r="C6" s="4" t="s">
        <v>17</v>
      </c>
      <c r="D6" s="5" t="s">
        <v>18</v>
      </c>
      <c r="E6" s="2" t="s">
        <v>14</v>
      </c>
      <c r="F6" s="6">
        <v>8000</v>
      </c>
      <c r="G6" s="7">
        <f t="shared" si="0"/>
        <v>1440</v>
      </c>
      <c r="H6" s="8">
        <f t="shared" si="1"/>
        <v>9440</v>
      </c>
      <c r="I6" s="9"/>
    </row>
    <row r="7" spans="1:9" ht="21.95" customHeight="1" x14ac:dyDescent="0.25">
      <c r="A7" s="2">
        <v>4</v>
      </c>
      <c r="B7" s="10" t="s">
        <v>11</v>
      </c>
      <c r="C7" s="4" t="s">
        <v>19</v>
      </c>
      <c r="D7" s="5" t="s">
        <v>20</v>
      </c>
      <c r="E7" s="2" t="s">
        <v>21</v>
      </c>
      <c r="F7" s="6">
        <v>3000</v>
      </c>
      <c r="G7" s="7">
        <f t="shared" si="0"/>
        <v>540</v>
      </c>
      <c r="H7" s="8">
        <f t="shared" si="1"/>
        <v>3540</v>
      </c>
      <c r="I7" s="9"/>
    </row>
    <row r="8" spans="1:9" ht="21.95" customHeight="1" x14ac:dyDescent="0.25">
      <c r="A8" s="2">
        <v>5</v>
      </c>
      <c r="B8" s="10" t="s">
        <v>11</v>
      </c>
      <c r="C8" s="4" t="s">
        <v>22</v>
      </c>
      <c r="D8" s="5" t="s">
        <v>23</v>
      </c>
      <c r="E8" s="2" t="s">
        <v>21</v>
      </c>
      <c r="F8" s="6">
        <v>2500</v>
      </c>
      <c r="G8" s="7">
        <f t="shared" si="0"/>
        <v>450</v>
      </c>
      <c r="H8" s="8">
        <f t="shared" si="1"/>
        <v>2950</v>
      </c>
      <c r="I8" s="9"/>
    </row>
    <row r="9" spans="1:9" ht="21.95" customHeight="1" x14ac:dyDescent="0.25">
      <c r="A9" s="2">
        <v>6</v>
      </c>
      <c r="B9" s="10" t="s">
        <v>11</v>
      </c>
      <c r="C9" s="4" t="s">
        <v>24</v>
      </c>
      <c r="D9" s="5" t="s">
        <v>25</v>
      </c>
      <c r="E9" s="2" t="s">
        <v>21</v>
      </c>
      <c r="F9" s="6">
        <v>2000</v>
      </c>
      <c r="G9" s="7">
        <f t="shared" si="0"/>
        <v>360</v>
      </c>
      <c r="H9" s="8">
        <f t="shared" si="1"/>
        <v>2360</v>
      </c>
      <c r="I9" s="9"/>
    </row>
    <row r="10" spans="1:9" ht="21.95" customHeight="1" x14ac:dyDescent="0.25">
      <c r="A10" s="2">
        <v>7</v>
      </c>
      <c r="B10" s="10" t="s">
        <v>11</v>
      </c>
      <c r="C10" s="4" t="s">
        <v>26</v>
      </c>
      <c r="D10" s="5" t="s">
        <v>27</v>
      </c>
      <c r="E10" s="2" t="s">
        <v>21</v>
      </c>
      <c r="F10" s="6">
        <v>1800</v>
      </c>
      <c r="G10" s="7">
        <f t="shared" si="0"/>
        <v>324</v>
      </c>
      <c r="H10" s="8">
        <f t="shared" si="1"/>
        <v>2124</v>
      </c>
      <c r="I10" s="9"/>
    </row>
    <row r="11" spans="1:9" ht="21.95" customHeight="1" x14ac:dyDescent="0.25">
      <c r="A11" s="2">
        <v>8</v>
      </c>
      <c r="B11" s="10" t="s">
        <v>11</v>
      </c>
      <c r="C11" s="4" t="s">
        <v>28</v>
      </c>
      <c r="D11" s="5" t="s">
        <v>29</v>
      </c>
      <c r="E11" s="2" t="s">
        <v>21</v>
      </c>
      <c r="F11" s="6">
        <v>2500</v>
      </c>
      <c r="G11" s="7">
        <f t="shared" si="0"/>
        <v>450</v>
      </c>
      <c r="H11" s="8">
        <f t="shared" si="1"/>
        <v>2950</v>
      </c>
      <c r="I11" s="9"/>
    </row>
    <row r="12" spans="1:9" ht="21.95" customHeight="1" x14ac:dyDescent="0.25">
      <c r="A12" s="11">
        <v>9</v>
      </c>
      <c r="B12" s="12" t="s">
        <v>30</v>
      </c>
      <c r="C12" s="13" t="s">
        <v>31</v>
      </c>
      <c r="D12" s="14" t="s">
        <v>32</v>
      </c>
      <c r="E12" s="11" t="s">
        <v>33</v>
      </c>
      <c r="F12" s="6">
        <v>1250</v>
      </c>
      <c r="G12" s="15">
        <f t="shared" si="0"/>
        <v>225</v>
      </c>
      <c r="H12" s="16">
        <f t="shared" si="1"/>
        <v>1475</v>
      </c>
      <c r="I12" s="9"/>
    </row>
    <row r="13" spans="1:9" ht="21.95" customHeight="1" x14ac:dyDescent="0.25">
      <c r="A13" s="11">
        <v>10</v>
      </c>
      <c r="B13" s="17" t="s">
        <v>30</v>
      </c>
      <c r="C13" s="13" t="s">
        <v>34</v>
      </c>
      <c r="D13" s="14" t="s">
        <v>35</v>
      </c>
      <c r="E13" s="11" t="s">
        <v>33</v>
      </c>
      <c r="F13" s="6">
        <v>6000</v>
      </c>
      <c r="G13" s="15">
        <f t="shared" si="0"/>
        <v>1080</v>
      </c>
      <c r="H13" s="16">
        <f t="shared" si="1"/>
        <v>7080</v>
      </c>
      <c r="I13" s="9"/>
    </row>
    <row r="14" spans="1:9" ht="21.95" customHeight="1" x14ac:dyDescent="0.25">
      <c r="A14" s="11">
        <v>11</v>
      </c>
      <c r="B14" s="17" t="s">
        <v>30</v>
      </c>
      <c r="C14" s="13" t="s">
        <v>36</v>
      </c>
      <c r="D14" s="14" t="s">
        <v>37</v>
      </c>
      <c r="E14" s="11" t="s">
        <v>38</v>
      </c>
      <c r="F14" s="6" t="s">
        <v>153</v>
      </c>
      <c r="G14" s="15" t="e">
        <f t="shared" si="0"/>
        <v>#VALUE!</v>
      </c>
      <c r="H14" s="16" t="e">
        <f t="shared" si="1"/>
        <v>#VALUE!</v>
      </c>
      <c r="I14" s="9"/>
    </row>
    <row r="15" spans="1:9" ht="21.95" customHeight="1" x14ac:dyDescent="0.25">
      <c r="A15" s="11">
        <v>12</v>
      </c>
      <c r="B15" s="17" t="s">
        <v>30</v>
      </c>
      <c r="C15" s="13" t="s">
        <v>39</v>
      </c>
      <c r="D15" s="14" t="s">
        <v>40</v>
      </c>
      <c r="E15" s="11" t="s">
        <v>41</v>
      </c>
      <c r="F15" s="6"/>
      <c r="G15" s="15" t="str">
        <f t="shared" si="0"/>
        <v/>
      </c>
      <c r="H15" s="16" t="str">
        <f t="shared" si="1"/>
        <v/>
      </c>
      <c r="I15" s="9"/>
    </row>
    <row r="16" spans="1:9" ht="21.95" customHeight="1" x14ac:dyDescent="0.25">
      <c r="A16" s="11">
        <v>13</v>
      </c>
      <c r="B16" s="17" t="s">
        <v>30</v>
      </c>
      <c r="C16" s="13" t="s">
        <v>42</v>
      </c>
      <c r="D16" s="14" t="s">
        <v>43</v>
      </c>
      <c r="E16" s="11" t="s">
        <v>44</v>
      </c>
      <c r="F16" s="6">
        <v>5500</v>
      </c>
      <c r="G16" s="15">
        <f t="shared" si="0"/>
        <v>990</v>
      </c>
      <c r="H16" s="16">
        <f t="shared" si="1"/>
        <v>6490</v>
      </c>
      <c r="I16" s="9"/>
    </row>
    <row r="17" spans="1:9" ht="21.95" customHeight="1" x14ac:dyDescent="0.25">
      <c r="A17" s="11">
        <v>14</v>
      </c>
      <c r="B17" s="17" t="s">
        <v>30</v>
      </c>
      <c r="C17" s="13" t="s">
        <v>45</v>
      </c>
      <c r="D17" s="14" t="s">
        <v>46</v>
      </c>
      <c r="E17" s="11" t="s">
        <v>47</v>
      </c>
      <c r="F17" s="6">
        <v>25000</v>
      </c>
      <c r="G17" s="15">
        <f t="shared" si="0"/>
        <v>4500</v>
      </c>
      <c r="H17" s="16">
        <f t="shared" si="1"/>
        <v>29500</v>
      </c>
      <c r="I17" s="9"/>
    </row>
    <row r="18" spans="1:9" ht="21.95" customHeight="1" x14ac:dyDescent="0.25">
      <c r="A18" s="11">
        <v>15</v>
      </c>
      <c r="B18" s="17" t="s">
        <v>30</v>
      </c>
      <c r="C18" s="13" t="s">
        <v>48</v>
      </c>
      <c r="D18" s="14" t="s">
        <v>49</v>
      </c>
      <c r="E18" s="11" t="s">
        <v>47</v>
      </c>
      <c r="F18" s="6">
        <v>15000</v>
      </c>
      <c r="G18" s="15">
        <f t="shared" si="0"/>
        <v>2700</v>
      </c>
      <c r="H18" s="16">
        <f t="shared" si="1"/>
        <v>17700</v>
      </c>
      <c r="I18" s="9"/>
    </row>
    <row r="19" spans="1:9" ht="21.95" customHeight="1" x14ac:dyDescent="0.25">
      <c r="A19" s="11">
        <v>16</v>
      </c>
      <c r="B19" s="17" t="s">
        <v>30</v>
      </c>
      <c r="C19" s="13" t="s">
        <v>50</v>
      </c>
      <c r="D19" s="14" t="s">
        <v>51</v>
      </c>
      <c r="E19" s="11" t="s">
        <v>47</v>
      </c>
      <c r="F19" s="6"/>
      <c r="G19" s="15" t="str">
        <f t="shared" si="0"/>
        <v/>
      </c>
      <c r="H19" s="16" t="str">
        <f t="shared" si="1"/>
        <v/>
      </c>
      <c r="I19" s="9"/>
    </row>
    <row r="20" spans="1:9" ht="21.95" customHeight="1" x14ac:dyDescent="0.25">
      <c r="A20" s="2">
        <v>17</v>
      </c>
      <c r="B20" s="3" t="s">
        <v>52</v>
      </c>
      <c r="C20" s="4" t="s">
        <v>53</v>
      </c>
      <c r="D20" s="5" t="s">
        <v>54</v>
      </c>
      <c r="E20" s="2" t="s">
        <v>55</v>
      </c>
      <c r="F20" s="6">
        <v>1280</v>
      </c>
      <c r="G20" s="7">
        <f t="shared" si="0"/>
        <v>230.39999999999998</v>
      </c>
      <c r="H20" s="8">
        <f t="shared" si="1"/>
        <v>1510.4</v>
      </c>
      <c r="I20" s="9"/>
    </row>
    <row r="21" spans="1:9" ht="21.95" customHeight="1" x14ac:dyDescent="0.25">
      <c r="A21" s="2">
        <v>18</v>
      </c>
      <c r="B21" s="10" t="s">
        <v>52</v>
      </c>
      <c r="C21" s="4" t="s">
        <v>56</v>
      </c>
      <c r="D21" s="5" t="s">
        <v>57</v>
      </c>
      <c r="E21" s="2" t="s">
        <v>21</v>
      </c>
      <c r="F21" s="6">
        <v>5800</v>
      </c>
      <c r="G21" s="7">
        <f t="shared" si="0"/>
        <v>1044</v>
      </c>
      <c r="H21" s="8">
        <f t="shared" si="1"/>
        <v>6844</v>
      </c>
      <c r="I21" s="9"/>
    </row>
    <row r="22" spans="1:9" ht="21.95" customHeight="1" x14ac:dyDescent="0.25">
      <c r="A22" s="2">
        <v>19</v>
      </c>
      <c r="B22" s="10" t="s">
        <v>52</v>
      </c>
      <c r="C22" s="4" t="s">
        <v>58</v>
      </c>
      <c r="D22" s="5" t="s">
        <v>59</v>
      </c>
      <c r="E22" s="2" t="s">
        <v>55</v>
      </c>
      <c r="F22" s="6">
        <v>2500</v>
      </c>
      <c r="G22" s="7">
        <f t="shared" si="0"/>
        <v>450</v>
      </c>
      <c r="H22" s="8">
        <f t="shared" si="1"/>
        <v>2950</v>
      </c>
      <c r="I22" s="9"/>
    </row>
    <row r="23" spans="1:9" ht="21.95" customHeight="1" x14ac:dyDescent="0.25">
      <c r="A23" s="2">
        <v>20</v>
      </c>
      <c r="B23" s="10" t="s">
        <v>52</v>
      </c>
      <c r="C23" s="4" t="s">
        <v>60</v>
      </c>
      <c r="D23" s="5" t="s">
        <v>61</v>
      </c>
      <c r="E23" s="2" t="s">
        <v>21</v>
      </c>
      <c r="F23" s="6">
        <v>7800</v>
      </c>
      <c r="G23" s="7">
        <f t="shared" si="0"/>
        <v>1404</v>
      </c>
      <c r="H23" s="8">
        <f t="shared" si="1"/>
        <v>9204</v>
      </c>
      <c r="I23" s="9"/>
    </row>
    <row r="24" spans="1:9" ht="21.95" customHeight="1" x14ac:dyDescent="0.25">
      <c r="A24" s="2">
        <v>21</v>
      </c>
      <c r="B24" s="10" t="s">
        <v>52</v>
      </c>
      <c r="C24" s="4" t="s">
        <v>62</v>
      </c>
      <c r="D24" s="5" t="s">
        <v>63</v>
      </c>
      <c r="E24" s="2" t="s">
        <v>21</v>
      </c>
      <c r="F24" s="6">
        <v>8500</v>
      </c>
      <c r="G24" s="7">
        <f t="shared" si="0"/>
        <v>1530</v>
      </c>
      <c r="H24" s="8">
        <f t="shared" si="1"/>
        <v>10030</v>
      </c>
      <c r="I24" s="9"/>
    </row>
    <row r="25" spans="1:9" ht="21.95" customHeight="1" x14ac:dyDescent="0.25">
      <c r="A25" s="2">
        <v>22</v>
      </c>
      <c r="B25" s="10" t="s">
        <v>52</v>
      </c>
      <c r="C25" s="4" t="s">
        <v>64</v>
      </c>
      <c r="D25" s="5" t="s">
        <v>65</v>
      </c>
      <c r="E25" s="2" t="s">
        <v>21</v>
      </c>
      <c r="F25" s="6">
        <v>8500</v>
      </c>
      <c r="G25" s="7">
        <f t="shared" si="0"/>
        <v>1530</v>
      </c>
      <c r="H25" s="8">
        <f t="shared" si="1"/>
        <v>10030</v>
      </c>
      <c r="I25" s="9"/>
    </row>
    <row r="26" spans="1:9" ht="21.95" customHeight="1" x14ac:dyDescent="0.25">
      <c r="A26" s="2">
        <v>23</v>
      </c>
      <c r="B26" s="10" t="s">
        <v>52</v>
      </c>
      <c r="C26" s="4" t="s">
        <v>66</v>
      </c>
      <c r="D26" s="5" t="s">
        <v>67</v>
      </c>
      <c r="E26" s="2" t="s">
        <v>21</v>
      </c>
      <c r="F26" s="6">
        <v>6500</v>
      </c>
      <c r="G26" s="7">
        <f t="shared" si="0"/>
        <v>1170</v>
      </c>
      <c r="H26" s="8">
        <f t="shared" si="1"/>
        <v>7670</v>
      </c>
      <c r="I26" s="9"/>
    </row>
    <row r="27" spans="1:9" ht="21.95" customHeight="1" x14ac:dyDescent="0.25">
      <c r="A27" s="2">
        <v>24</v>
      </c>
      <c r="B27" s="10" t="s">
        <v>52</v>
      </c>
      <c r="C27" s="4" t="s">
        <v>68</v>
      </c>
      <c r="D27" s="5" t="s">
        <v>69</v>
      </c>
      <c r="E27" s="2" t="s">
        <v>21</v>
      </c>
      <c r="F27" s="6">
        <v>4500</v>
      </c>
      <c r="G27" s="7">
        <f t="shared" si="0"/>
        <v>810</v>
      </c>
      <c r="H27" s="8">
        <f t="shared" si="1"/>
        <v>5310</v>
      </c>
      <c r="I27" s="9"/>
    </row>
    <row r="28" spans="1:9" ht="21.95" customHeight="1" x14ac:dyDescent="0.25">
      <c r="A28" s="2">
        <v>25</v>
      </c>
      <c r="B28" s="10" t="s">
        <v>52</v>
      </c>
      <c r="C28" s="4" t="s">
        <v>70</v>
      </c>
      <c r="D28" s="5" t="s">
        <v>71</v>
      </c>
      <c r="E28" s="2" t="s">
        <v>21</v>
      </c>
      <c r="F28" s="6">
        <v>16800</v>
      </c>
      <c r="G28" s="7">
        <f t="shared" si="0"/>
        <v>3024</v>
      </c>
      <c r="H28" s="8">
        <f t="shared" si="1"/>
        <v>19824</v>
      </c>
      <c r="I28" s="9"/>
    </row>
    <row r="29" spans="1:9" ht="21.95" customHeight="1" x14ac:dyDescent="0.25">
      <c r="A29" s="2">
        <v>26</v>
      </c>
      <c r="B29" s="10" t="s">
        <v>52</v>
      </c>
      <c r="C29" s="4" t="s">
        <v>72</v>
      </c>
      <c r="D29" s="5" t="s">
        <v>73</v>
      </c>
      <c r="E29" s="2" t="s">
        <v>74</v>
      </c>
      <c r="F29" s="6">
        <v>2600</v>
      </c>
      <c r="G29" s="7">
        <f t="shared" si="0"/>
        <v>468</v>
      </c>
      <c r="H29" s="8">
        <f t="shared" si="1"/>
        <v>3068</v>
      </c>
      <c r="I29" s="9"/>
    </row>
    <row r="30" spans="1:9" ht="21.95" customHeight="1" x14ac:dyDescent="0.25">
      <c r="A30" s="2">
        <v>27</v>
      </c>
      <c r="B30" s="10" t="s">
        <v>52</v>
      </c>
      <c r="C30" s="4" t="s">
        <v>75</v>
      </c>
      <c r="D30" s="5" t="s">
        <v>76</v>
      </c>
      <c r="E30" s="2" t="s">
        <v>74</v>
      </c>
      <c r="F30" s="6">
        <v>1500</v>
      </c>
      <c r="G30" s="7">
        <f t="shared" si="0"/>
        <v>270</v>
      </c>
      <c r="H30" s="8">
        <f t="shared" si="1"/>
        <v>1770</v>
      </c>
      <c r="I30" s="9"/>
    </row>
    <row r="31" spans="1:9" ht="21.95" customHeight="1" x14ac:dyDescent="0.25">
      <c r="A31" s="2">
        <v>28</v>
      </c>
      <c r="B31" s="10" t="s">
        <v>52</v>
      </c>
      <c r="C31" s="4" t="s">
        <v>77</v>
      </c>
      <c r="D31" s="5" t="s">
        <v>78</v>
      </c>
      <c r="E31" s="2" t="s">
        <v>74</v>
      </c>
      <c r="F31" s="6">
        <v>2000</v>
      </c>
      <c r="G31" s="7">
        <f t="shared" si="0"/>
        <v>360</v>
      </c>
      <c r="H31" s="8">
        <f t="shared" si="1"/>
        <v>2360</v>
      </c>
      <c r="I31" s="9"/>
    </row>
    <row r="32" spans="1:9" ht="21.95" customHeight="1" x14ac:dyDescent="0.25">
      <c r="A32" s="2">
        <v>29</v>
      </c>
      <c r="B32" s="10" t="s">
        <v>52</v>
      </c>
      <c r="C32" s="4" t="s">
        <v>79</v>
      </c>
      <c r="D32" s="5" t="s">
        <v>80</v>
      </c>
      <c r="E32" s="2" t="s">
        <v>81</v>
      </c>
      <c r="F32" s="6">
        <v>1800</v>
      </c>
      <c r="G32" s="7">
        <f t="shared" si="0"/>
        <v>324</v>
      </c>
      <c r="H32" s="8">
        <f t="shared" si="1"/>
        <v>2124</v>
      </c>
      <c r="I32" s="9"/>
    </row>
    <row r="33" spans="1:9" ht="21.95" customHeight="1" x14ac:dyDescent="0.25">
      <c r="A33" s="11">
        <v>30</v>
      </c>
      <c r="B33" s="12" t="s">
        <v>82</v>
      </c>
      <c r="C33" s="13" t="s">
        <v>83</v>
      </c>
      <c r="D33" s="14" t="s">
        <v>84</v>
      </c>
      <c r="E33" s="11" t="s">
        <v>85</v>
      </c>
      <c r="F33" s="6">
        <v>12000</v>
      </c>
      <c r="G33" s="15">
        <f t="shared" si="0"/>
        <v>2160</v>
      </c>
      <c r="H33" s="16">
        <f t="shared" si="1"/>
        <v>14160</v>
      </c>
      <c r="I33" s="9"/>
    </row>
    <row r="34" spans="1:9" ht="21.95" customHeight="1" x14ac:dyDescent="0.25">
      <c r="A34" s="11">
        <v>31</v>
      </c>
      <c r="B34" s="17" t="s">
        <v>82</v>
      </c>
      <c r="C34" s="13" t="s">
        <v>86</v>
      </c>
      <c r="D34" s="14" t="s">
        <v>87</v>
      </c>
      <c r="E34" s="11" t="s">
        <v>21</v>
      </c>
      <c r="F34" s="6">
        <v>1680</v>
      </c>
      <c r="G34" s="15">
        <f t="shared" si="0"/>
        <v>302.39999999999998</v>
      </c>
      <c r="H34" s="16">
        <f t="shared" si="1"/>
        <v>1982.4</v>
      </c>
      <c r="I34" s="9"/>
    </row>
    <row r="35" spans="1:9" ht="21.95" customHeight="1" x14ac:dyDescent="0.25">
      <c r="A35" s="11">
        <v>32</v>
      </c>
      <c r="B35" s="17" t="s">
        <v>82</v>
      </c>
      <c r="C35" s="13" t="s">
        <v>88</v>
      </c>
      <c r="D35" s="14" t="s">
        <v>89</v>
      </c>
      <c r="E35" s="11" t="s">
        <v>21</v>
      </c>
      <c r="F35" s="6">
        <v>3800</v>
      </c>
      <c r="G35" s="15">
        <f t="shared" si="0"/>
        <v>684</v>
      </c>
      <c r="H35" s="16">
        <f t="shared" si="1"/>
        <v>4484</v>
      </c>
      <c r="I35" s="9"/>
    </row>
    <row r="36" spans="1:9" ht="21.95" customHeight="1" x14ac:dyDescent="0.25">
      <c r="A36" s="11">
        <v>33</v>
      </c>
      <c r="B36" s="17" t="s">
        <v>82</v>
      </c>
      <c r="C36" s="13" t="s">
        <v>90</v>
      </c>
      <c r="D36" s="14" t="s">
        <v>91</v>
      </c>
      <c r="E36" s="11" t="s">
        <v>21</v>
      </c>
      <c r="F36" s="6">
        <v>1680</v>
      </c>
      <c r="G36" s="15">
        <f t="shared" ref="G36:G67" si="2">IF(F36="","",F36*0.18)</f>
        <v>302.39999999999998</v>
      </c>
      <c r="H36" s="16">
        <f t="shared" ref="H36:H67" si="3">IF(F36="","",F36+G36)</f>
        <v>1982.4</v>
      </c>
      <c r="I36" s="9"/>
    </row>
    <row r="37" spans="1:9" ht="21.95" customHeight="1" x14ac:dyDescent="0.25">
      <c r="A37" s="2">
        <v>34</v>
      </c>
      <c r="B37" s="3" t="s">
        <v>92</v>
      </c>
      <c r="C37" s="4" t="s">
        <v>93</v>
      </c>
      <c r="D37" s="5" t="s">
        <v>94</v>
      </c>
      <c r="E37" s="2" t="s">
        <v>81</v>
      </c>
      <c r="F37" s="6">
        <v>12000</v>
      </c>
      <c r="G37" s="7">
        <f t="shared" si="2"/>
        <v>2160</v>
      </c>
      <c r="H37" s="8">
        <f t="shared" si="3"/>
        <v>14160</v>
      </c>
      <c r="I37" s="9"/>
    </row>
    <row r="38" spans="1:9" ht="21.95" customHeight="1" x14ac:dyDescent="0.25">
      <c r="A38" s="2">
        <v>35</v>
      </c>
      <c r="B38" s="10" t="s">
        <v>92</v>
      </c>
      <c r="C38" s="4" t="s">
        <v>95</v>
      </c>
      <c r="D38" s="5" t="s">
        <v>96</v>
      </c>
      <c r="E38" s="2" t="s">
        <v>14</v>
      </c>
      <c r="F38" s="6">
        <v>28000</v>
      </c>
      <c r="G38" s="7">
        <f t="shared" si="2"/>
        <v>5040</v>
      </c>
      <c r="H38" s="8">
        <f t="shared" si="3"/>
        <v>33040</v>
      </c>
      <c r="I38" s="9"/>
    </row>
    <row r="39" spans="1:9" ht="21.95" customHeight="1" x14ac:dyDescent="0.25">
      <c r="A39" s="2">
        <v>36</v>
      </c>
      <c r="B39" s="10" t="s">
        <v>92</v>
      </c>
      <c r="C39" s="4" t="s">
        <v>97</v>
      </c>
      <c r="D39" s="5" t="s">
        <v>98</v>
      </c>
      <c r="E39" s="2" t="s">
        <v>81</v>
      </c>
      <c r="F39" s="6">
        <v>12000</v>
      </c>
      <c r="G39" s="7">
        <f t="shared" si="2"/>
        <v>2160</v>
      </c>
      <c r="H39" s="8">
        <f t="shared" si="3"/>
        <v>14160</v>
      </c>
      <c r="I39" s="9"/>
    </row>
    <row r="40" spans="1:9" ht="21.95" customHeight="1" x14ac:dyDescent="0.25">
      <c r="A40" s="2">
        <v>37</v>
      </c>
      <c r="B40" s="10" t="s">
        <v>92</v>
      </c>
      <c r="C40" s="4" t="s">
        <v>99</v>
      </c>
      <c r="D40" s="5" t="s">
        <v>100</v>
      </c>
      <c r="E40" s="2" t="s">
        <v>101</v>
      </c>
      <c r="F40" s="6">
        <v>8000</v>
      </c>
      <c r="G40" s="7">
        <f t="shared" si="2"/>
        <v>1440</v>
      </c>
      <c r="H40" s="8">
        <f t="shared" si="3"/>
        <v>9440</v>
      </c>
      <c r="I40" s="9"/>
    </row>
    <row r="41" spans="1:9" ht="21.95" customHeight="1" x14ac:dyDescent="0.25">
      <c r="A41" s="2">
        <v>38</v>
      </c>
      <c r="B41" s="10" t="s">
        <v>92</v>
      </c>
      <c r="C41" s="4" t="s">
        <v>102</v>
      </c>
      <c r="D41" s="5" t="s">
        <v>103</v>
      </c>
      <c r="E41" s="2" t="s">
        <v>104</v>
      </c>
      <c r="F41" s="6">
        <v>1500</v>
      </c>
      <c r="G41" s="7">
        <f t="shared" si="2"/>
        <v>270</v>
      </c>
      <c r="H41" s="8">
        <f t="shared" si="3"/>
        <v>1770</v>
      </c>
      <c r="I41" s="9"/>
    </row>
    <row r="42" spans="1:9" ht="21.95" customHeight="1" x14ac:dyDescent="0.25">
      <c r="A42" s="2">
        <v>39</v>
      </c>
      <c r="B42" s="10" t="s">
        <v>92</v>
      </c>
      <c r="C42" s="4" t="s">
        <v>105</v>
      </c>
      <c r="D42" s="5" t="s">
        <v>106</v>
      </c>
      <c r="E42" s="2" t="s">
        <v>107</v>
      </c>
      <c r="F42" s="6">
        <v>1200</v>
      </c>
      <c r="G42" s="7">
        <f t="shared" si="2"/>
        <v>216</v>
      </c>
      <c r="H42" s="8">
        <f t="shared" si="3"/>
        <v>1416</v>
      </c>
      <c r="I42" s="9"/>
    </row>
    <row r="43" spans="1:9" ht="21.95" customHeight="1" x14ac:dyDescent="0.25">
      <c r="A43" s="2">
        <v>40</v>
      </c>
      <c r="B43" s="10" t="s">
        <v>92</v>
      </c>
      <c r="C43" s="4" t="s">
        <v>108</v>
      </c>
      <c r="D43" s="5" t="s">
        <v>109</v>
      </c>
      <c r="E43" s="2" t="s">
        <v>21</v>
      </c>
      <c r="F43" s="6">
        <v>3200</v>
      </c>
      <c r="G43" s="7">
        <f t="shared" si="2"/>
        <v>576</v>
      </c>
      <c r="H43" s="8">
        <f t="shared" si="3"/>
        <v>3776</v>
      </c>
      <c r="I43" s="9"/>
    </row>
    <row r="44" spans="1:9" ht="21.95" customHeight="1" x14ac:dyDescent="0.25">
      <c r="A44" s="11">
        <v>41</v>
      </c>
      <c r="B44" s="12" t="s">
        <v>110</v>
      </c>
      <c r="C44" s="13" t="s">
        <v>111</v>
      </c>
      <c r="D44" s="14" t="s">
        <v>154</v>
      </c>
      <c r="E44" s="11" t="s">
        <v>38</v>
      </c>
      <c r="F44" s="6">
        <v>1500</v>
      </c>
      <c r="G44" s="15">
        <f t="shared" si="2"/>
        <v>270</v>
      </c>
      <c r="H44" s="16">
        <f t="shared" si="3"/>
        <v>1770</v>
      </c>
      <c r="I44" s="9"/>
    </row>
    <row r="45" spans="1:9" ht="21.95" customHeight="1" x14ac:dyDescent="0.25">
      <c r="A45" s="11">
        <v>42</v>
      </c>
      <c r="B45" s="17" t="s">
        <v>110</v>
      </c>
      <c r="C45" s="13" t="s">
        <v>112</v>
      </c>
      <c r="D45" s="14" t="s">
        <v>113</v>
      </c>
      <c r="E45" s="11" t="s">
        <v>14</v>
      </c>
      <c r="F45" s="6">
        <v>2800</v>
      </c>
      <c r="G45" s="15">
        <f t="shared" si="2"/>
        <v>504</v>
      </c>
      <c r="H45" s="16">
        <f t="shared" si="3"/>
        <v>3304</v>
      </c>
      <c r="I45" s="9"/>
    </row>
    <row r="46" spans="1:9" ht="21.95" customHeight="1" x14ac:dyDescent="0.25">
      <c r="A46" s="11">
        <v>43</v>
      </c>
      <c r="B46" s="17" t="s">
        <v>110</v>
      </c>
      <c r="C46" s="13" t="s">
        <v>114</v>
      </c>
      <c r="D46" s="14" t="s">
        <v>115</v>
      </c>
      <c r="E46" s="11" t="s">
        <v>38</v>
      </c>
      <c r="F46" s="6">
        <v>1200</v>
      </c>
      <c r="G46" s="15">
        <f t="shared" si="2"/>
        <v>216</v>
      </c>
      <c r="H46" s="16">
        <f t="shared" si="3"/>
        <v>1416</v>
      </c>
      <c r="I46" s="9"/>
    </row>
    <row r="47" spans="1:9" ht="21.95" customHeight="1" x14ac:dyDescent="0.25">
      <c r="A47" s="11">
        <v>44</v>
      </c>
      <c r="B47" s="17" t="s">
        <v>110</v>
      </c>
      <c r="C47" s="13" t="s">
        <v>116</v>
      </c>
      <c r="D47" s="14" t="s">
        <v>117</v>
      </c>
      <c r="E47" s="11" t="s">
        <v>101</v>
      </c>
      <c r="F47" s="6"/>
      <c r="G47" s="15" t="str">
        <f t="shared" si="2"/>
        <v/>
      </c>
      <c r="H47" s="16" t="str">
        <f t="shared" si="3"/>
        <v/>
      </c>
      <c r="I47" s="9"/>
    </row>
    <row r="48" spans="1:9" ht="21.95" customHeight="1" x14ac:dyDescent="0.25">
      <c r="A48" s="2">
        <v>45</v>
      </c>
      <c r="B48" s="3" t="s">
        <v>118</v>
      </c>
      <c r="C48" s="4" t="s">
        <v>119</v>
      </c>
      <c r="D48" s="5" t="s">
        <v>120</v>
      </c>
      <c r="E48" s="2" t="s">
        <v>121</v>
      </c>
      <c r="F48" s="6"/>
      <c r="G48" s="7" t="str">
        <f t="shared" si="2"/>
        <v/>
      </c>
      <c r="H48" s="8" t="str">
        <f t="shared" si="3"/>
        <v/>
      </c>
      <c r="I48" s="9"/>
    </row>
    <row r="49" spans="1:9" ht="21.95" customHeight="1" x14ac:dyDescent="0.25">
      <c r="A49" s="2">
        <v>46</v>
      </c>
      <c r="B49" s="10" t="s">
        <v>118</v>
      </c>
      <c r="C49" s="4" t="s">
        <v>122</v>
      </c>
      <c r="D49" s="5" t="s">
        <v>123</v>
      </c>
      <c r="E49" s="2" t="s">
        <v>121</v>
      </c>
      <c r="F49" s="6"/>
      <c r="G49" s="7" t="str">
        <f t="shared" si="2"/>
        <v/>
      </c>
      <c r="H49" s="8" t="str">
        <f t="shared" si="3"/>
        <v/>
      </c>
      <c r="I49" s="9"/>
    </row>
    <row r="50" spans="1:9" ht="21.95" customHeight="1" x14ac:dyDescent="0.25">
      <c r="A50" s="2">
        <v>47</v>
      </c>
      <c r="B50" s="10" t="s">
        <v>118</v>
      </c>
      <c r="C50" s="4" t="s">
        <v>124</v>
      </c>
      <c r="D50" s="5" t="s">
        <v>125</v>
      </c>
      <c r="E50" s="2" t="s">
        <v>126</v>
      </c>
      <c r="F50" s="6">
        <v>4800</v>
      </c>
      <c r="G50" s="7">
        <f t="shared" si="2"/>
        <v>864</v>
      </c>
      <c r="H50" s="8">
        <f t="shared" si="3"/>
        <v>5664</v>
      </c>
      <c r="I50" s="9"/>
    </row>
    <row r="51" spans="1:9" ht="21.95" customHeight="1" x14ac:dyDescent="0.25">
      <c r="A51" s="2">
        <v>48</v>
      </c>
      <c r="B51" s="10" t="s">
        <v>118</v>
      </c>
      <c r="C51" s="4" t="s">
        <v>127</v>
      </c>
      <c r="D51" s="5" t="s">
        <v>128</v>
      </c>
      <c r="E51" s="2" t="s">
        <v>21</v>
      </c>
      <c r="F51" s="6">
        <v>1600</v>
      </c>
      <c r="G51" s="7">
        <f t="shared" si="2"/>
        <v>288</v>
      </c>
      <c r="H51" s="8">
        <f t="shared" si="3"/>
        <v>1888</v>
      </c>
      <c r="I51" s="9"/>
    </row>
    <row r="52" spans="1:9" ht="21.95" customHeight="1" x14ac:dyDescent="0.25">
      <c r="A52" s="2">
        <v>49</v>
      </c>
      <c r="B52" s="10" t="s">
        <v>118</v>
      </c>
      <c r="C52" s="4" t="s">
        <v>129</v>
      </c>
      <c r="D52" s="5" t="s">
        <v>130</v>
      </c>
      <c r="E52" s="2" t="s">
        <v>104</v>
      </c>
      <c r="F52" s="6">
        <v>5000</v>
      </c>
      <c r="G52" s="7">
        <f t="shared" si="2"/>
        <v>900</v>
      </c>
      <c r="H52" s="8">
        <f t="shared" si="3"/>
        <v>5900</v>
      </c>
      <c r="I52" s="9"/>
    </row>
    <row r="53" spans="1:9" ht="21.95" customHeight="1" x14ac:dyDescent="0.25">
      <c r="A53" s="11">
        <v>50</v>
      </c>
      <c r="B53" s="12" t="s">
        <v>131</v>
      </c>
      <c r="C53" s="13" t="s">
        <v>132</v>
      </c>
      <c r="D53" s="14" t="s">
        <v>133</v>
      </c>
      <c r="E53" s="11" t="s">
        <v>21</v>
      </c>
      <c r="F53" s="6">
        <v>1500</v>
      </c>
      <c r="G53" s="15">
        <f t="shared" si="2"/>
        <v>270</v>
      </c>
      <c r="H53" s="16">
        <f t="shared" si="3"/>
        <v>1770</v>
      </c>
      <c r="I53" s="9"/>
    </row>
    <row r="54" spans="1:9" ht="21.95" customHeight="1" x14ac:dyDescent="0.25">
      <c r="A54" s="11">
        <v>51</v>
      </c>
      <c r="B54" s="17" t="s">
        <v>131</v>
      </c>
      <c r="C54" s="13" t="s">
        <v>134</v>
      </c>
      <c r="D54" s="14" t="s">
        <v>135</v>
      </c>
      <c r="E54" s="11" t="s">
        <v>136</v>
      </c>
      <c r="F54" s="6">
        <v>8000</v>
      </c>
      <c r="G54" s="15">
        <f t="shared" si="2"/>
        <v>1440</v>
      </c>
      <c r="H54" s="16">
        <f t="shared" si="3"/>
        <v>9440</v>
      </c>
      <c r="I54" s="9"/>
    </row>
    <row r="55" spans="1:9" ht="21.95" customHeight="1" x14ac:dyDescent="0.25">
      <c r="A55" s="11">
        <v>52</v>
      </c>
      <c r="B55" s="17" t="s">
        <v>131</v>
      </c>
      <c r="C55" s="13" t="s">
        <v>137</v>
      </c>
      <c r="D55" s="14" t="s">
        <v>138</v>
      </c>
      <c r="E55" s="11" t="s">
        <v>21</v>
      </c>
      <c r="F55" s="6">
        <v>7500</v>
      </c>
      <c r="G55" s="15">
        <f t="shared" si="2"/>
        <v>1350</v>
      </c>
      <c r="H55" s="16">
        <f t="shared" si="3"/>
        <v>8850</v>
      </c>
      <c r="I55" s="9"/>
    </row>
    <row r="56" spans="1:9" ht="30" customHeight="1" x14ac:dyDescent="0.25">
      <c r="A56" s="29" t="s">
        <v>139</v>
      </c>
      <c r="B56" s="28"/>
      <c r="C56" s="28"/>
      <c r="D56" s="28"/>
      <c r="E56" s="28"/>
      <c r="F56" s="18" t="e">
        <f>SUMPRODUCT((F4:F55&lt;&gt;"")*1,IFERROR(F4:F55,0))</f>
        <v>#VALUE!</v>
      </c>
      <c r="G56" s="19" t="e">
        <f>SUMPRODUCT((G4:G55&lt;&gt;"")*1,IFERROR(G4:G55,0))</f>
        <v>#VALUE!</v>
      </c>
      <c r="H56" s="20" t="e">
        <f>SUMPRODUCT((H4:H55&lt;&gt;"")*1,IFERROR(H4:H55,0))</f>
        <v>#VALUE!</v>
      </c>
      <c r="I56" s="21"/>
    </row>
  </sheetData>
  <mergeCells count="3">
    <mergeCell ref="A1:I1"/>
    <mergeCell ref="A56:E56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showGridLines="0" workbookViewId="0"/>
  </sheetViews>
  <sheetFormatPr defaultRowHeight="15" x14ac:dyDescent="0.25"/>
  <cols>
    <col min="1" max="1" width="90" customWidth="1"/>
  </cols>
  <sheetData>
    <row r="1" spans="1:1" ht="50.1" customHeight="1" x14ac:dyDescent="0.25">
      <c r="A1" s="22" t="s">
        <v>140</v>
      </c>
    </row>
    <row r="2" spans="1:1" ht="21.95" customHeight="1" x14ac:dyDescent="0.25">
      <c r="A2" s="23" t="s">
        <v>141</v>
      </c>
    </row>
    <row r="3" spans="1:1" ht="21.95" customHeight="1" x14ac:dyDescent="0.25">
      <c r="A3" s="24" t="s">
        <v>142</v>
      </c>
    </row>
    <row r="4" spans="1:1" ht="21.95" customHeight="1" x14ac:dyDescent="0.25">
      <c r="A4" s="24" t="s">
        <v>143</v>
      </c>
    </row>
    <row r="5" spans="1:1" ht="21.95" customHeight="1" x14ac:dyDescent="0.25">
      <c r="A5" s="24" t="s">
        <v>144</v>
      </c>
    </row>
    <row r="6" spans="1:1" ht="21.95" customHeight="1" x14ac:dyDescent="0.25">
      <c r="A6" s="24" t="s">
        <v>145</v>
      </c>
    </row>
    <row r="7" spans="1:1" ht="21.95" customHeight="1" x14ac:dyDescent="0.25">
      <c r="A7" s="24" t="s">
        <v>146</v>
      </c>
    </row>
    <row r="8" spans="1:1" ht="21.95" customHeight="1" x14ac:dyDescent="0.25">
      <c r="A8" s="23" t="s">
        <v>141</v>
      </c>
    </row>
    <row r="9" spans="1:1" ht="21.95" customHeight="1" x14ac:dyDescent="0.25">
      <c r="A9" s="25" t="s">
        <v>147</v>
      </c>
    </row>
    <row r="10" spans="1:1" ht="21.95" customHeight="1" x14ac:dyDescent="0.25">
      <c r="A10" s="25" t="s">
        <v>148</v>
      </c>
    </row>
    <row r="11" spans="1:1" ht="21.95" customHeight="1" x14ac:dyDescent="0.25">
      <c r="A11" s="25" t="s">
        <v>149</v>
      </c>
    </row>
    <row r="12" spans="1:1" ht="21.95" customHeight="1" x14ac:dyDescent="0.25">
      <c r="A12" s="23" t="s">
        <v>141</v>
      </c>
    </row>
    <row r="13" spans="1:1" ht="21.95" customHeight="1" x14ac:dyDescent="0.25">
      <c r="A13" s="26" t="s">
        <v>150</v>
      </c>
    </row>
    <row r="14" spans="1:1" ht="21.95" customHeight="1" x14ac:dyDescent="0.25">
      <c r="A14" s="26" t="s">
        <v>151</v>
      </c>
    </row>
    <row r="15" spans="1:1" ht="21.95" customHeight="1" x14ac:dyDescent="0.25">
      <c r="A15" s="26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Services &amp; Pricing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Dzinia Pune</cp:lastModifiedBy>
  <dcterms:created xsi:type="dcterms:W3CDTF">2026-02-26T23:14:40Z</dcterms:created>
  <dcterms:modified xsi:type="dcterms:W3CDTF">2026-02-27T00:00:54Z</dcterms:modified>
</cp:coreProperties>
</file>